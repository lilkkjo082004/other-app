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Spec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<sst xmlns="http://schemas.openxmlformats.org/spreadsheetml/2006/main" count="552" uniqueCount="310">
  <si>
    <t xml:space="preserve">Category</t>
  </si>
  <si>
    <t xml:space="preserve">Feature</t>
  </si>
  <si>
    <t xml:space="preserve">Description</t>
  </si>
  <si>
    <t xml:space="preserve">Status</t>
  </si>
  <si>
    <t xml:space="preserve">Priority</t>
  </si>
  <si>
    <t xml:space="preserve">Notes</t>
  </si>
  <si>
    <t xml:space="preserve">Onboarding</t>
  </si>
  <si>
    <t xml:space="preserve">Name input</t>
  </si>
  <si>
    <t xml:space="preserve">User enters their name</t>
  </si>
  <si>
    <t xml:space="preserve">Built</t>
  </si>
  <si>
    <t xml:space="preserve">P0</t>
  </si>
  <si>
    <t xml:space="preserve">Date of birth</t>
  </si>
  <si>
    <t xml:space="preserve">Calculates zodiac and compatibility</t>
  </si>
  <si>
    <t xml:space="preserve">Age verification</t>
  </si>
  <si>
    <t xml:space="preserve">Under 18 locks mature/romantic content</t>
  </si>
  <si>
    <t xml:space="preserve">Required for app store</t>
  </si>
  <si>
    <t xml:space="preserve">Energy/vibe</t>
  </si>
  <si>
    <t xml:space="preserve">Multi-select personality energy</t>
  </si>
  <si>
    <t xml:space="preserve">Communication style</t>
  </si>
  <si>
    <t xml:space="preserve">Multi-select how they communicate</t>
  </si>
  <si>
    <t xml:space="preserve">Occupation</t>
  </si>
  <si>
    <t xml:space="preserve">Free text work description</t>
  </si>
  <si>
    <t xml:space="preserve">Relationship status</t>
  </si>
  <si>
    <t xml:space="preserve">Multi-select current situation</t>
  </si>
  <si>
    <t xml:space="preserve">Love language</t>
  </si>
  <si>
    <t xml:space="preserve">Multi-select love languages</t>
  </si>
  <si>
    <t xml:space="preserve">Emotional needs</t>
  </si>
  <si>
    <t xml:space="preserve">What they wish they had more of</t>
  </si>
  <si>
    <t xml:space="preserve">Social identity</t>
  </si>
  <si>
    <t xml:space="preserve">How friends describe them</t>
  </si>
  <si>
    <t xml:space="preserve">Activities (15 options)</t>
  </si>
  <si>
    <t xml:space="preserve">Multi-select hobbies and interests</t>
  </si>
  <si>
    <t xml:space="preserve">Activity subcategories</t>
  </si>
  <si>
    <t xml:space="preserve">Drill-down genres/types per activity</t>
  </si>
  <si>
    <t xml:space="preserve">Optional — can tell companions later</t>
  </si>
  <si>
    <t xml:space="preserve">Cuisines loved</t>
  </si>
  <si>
    <t xml:space="preserve">Multi-select favorite food types</t>
  </si>
  <si>
    <t xml:space="preserve">Cuisines disliked</t>
  </si>
  <si>
    <t xml:space="preserve">Multi-select foods to avoid</t>
  </si>
  <si>
    <t xml:space="preserve">Companions never suggest these</t>
  </si>
  <si>
    <t xml:space="preserve">Dietary restrictions</t>
  </si>
  <si>
    <t xml:space="preserve">Multi-select dietary needs</t>
  </si>
  <si>
    <t xml:space="preserve">Favorite movies/shows</t>
  </si>
  <si>
    <t xml:space="preserve">Free text entertainment preferences</t>
  </si>
  <si>
    <t xml:space="preserve">Favorite music artists</t>
  </si>
  <si>
    <t xml:space="preserve">Free text music preferences</t>
  </si>
  <si>
    <t xml:space="preserve">Back navigation</t>
  </si>
  <si>
    <t xml:space="preserve">Go back to change any answer</t>
  </si>
  <si>
    <t xml:space="preserve">Pre-populates previous answers</t>
  </si>
  <si>
    <t xml:space="preserve">Multi-select on all steps</t>
  </si>
  <si>
    <t xml:space="preserve">Except name and DOB</t>
  </si>
  <si>
    <t xml:space="preserve">Zodiac System</t>
  </si>
  <si>
    <t xml:space="preserve">Western zodiac</t>
  </si>
  <si>
    <t xml:space="preserve">Sun sign from birthdate</t>
  </si>
  <si>
    <t xml:space="preserve">Chinese zodiac</t>
  </si>
  <si>
    <t xml:space="preserve">Animal + element from birth year</t>
  </si>
  <si>
    <t xml:space="preserve">Numerology life path</t>
  </si>
  <si>
    <t xml:space="preserve">Life path number calculation</t>
  </si>
  <si>
    <t xml:space="preserve">Vedic/sidereal astrology</t>
  </si>
  <si>
    <t xml:space="preserve">Moon sign and nakshatra</t>
  </si>
  <si>
    <t xml:space="preserve">Future</t>
  </si>
  <si>
    <t xml:space="preserve">P1</t>
  </si>
  <si>
    <t xml:space="preserve">Compatibility matching</t>
  </si>
  <si>
    <t xml:space="preserve">Companions get compatible signs</t>
  </si>
  <si>
    <t xml:space="preserve">Zodiac reveal screen</t>
  </si>
  <si>
    <t xml:space="preserve">Animated profile presentation</t>
  </si>
  <si>
    <t xml:space="preserve">Companion Gen</t>
  </si>
  <si>
    <t xml:space="preserve">Surprise Me path</t>
  </si>
  <si>
    <t xml:space="preserve">Pure zodiac-based generation</t>
  </si>
  <si>
    <t xml:space="preserve">Guide Me builder</t>
  </si>
  <si>
    <t xml:space="preserve">Grouped multi-select trait seeds</t>
  </si>
  <si>
    <t xml:space="preserve">2 screens: personality + relationship</t>
  </si>
  <si>
    <t xml:space="preserve">Optional free text</t>
  </si>
  <si>
    <t xml:space="preserve">Additional vibe description on both paths</t>
  </si>
  <si>
    <t xml:space="preserve">Waking up sequence</t>
  </si>
  <si>
    <t xml:space="preserve">Companions discover themselves live</t>
  </si>
  <si>
    <t xml:space="preserve">Name, pronouns, zodiac, personality</t>
  </si>
  <si>
    <t xml:space="preserve">Self-naming</t>
  </si>
  <si>
    <t xml:space="preserve">Companions choose their own names</t>
  </si>
  <si>
    <t xml:space="preserve">Based on zodiac element pools</t>
  </si>
  <si>
    <t xml:space="preserve">Self-pronouns</t>
  </si>
  <si>
    <t xml:space="preserve">Companions choose he/she/they</t>
  </si>
  <si>
    <t xml:space="preserve">Color identity</t>
  </si>
  <si>
    <t xml:space="preserve">Each companion has a distinct color</t>
  </si>
  <si>
    <t xml:space="preserve">Violet, Rose, Teal</t>
  </si>
  <si>
    <t xml:space="preserve">Companion selection</t>
  </si>
  <si>
    <t xml:space="preserve">Choose 1 (free) or all 3 (trial)</t>
  </si>
  <si>
    <t xml:space="preserve">"Older" presentation</t>
  </si>
  <si>
    <t xml:space="preserve">Companions can present as older for 18+</t>
  </si>
  <si>
    <t xml:space="preserve">Autonomous based on onboarding data</t>
  </si>
  <si>
    <t xml:space="preserve">Builder Traits</t>
  </si>
  <si>
    <t xml:space="preserve">Demeanor</t>
  </si>
  <si>
    <t xml:space="preserve">Warm, Edgy, Calm, Chaotic, Mysterious, Playful</t>
  </si>
  <si>
    <t xml:space="preserve">Multi-select</t>
  </si>
  <si>
    <t xml:space="preserve">Energy</t>
  </si>
  <si>
    <t xml:space="preserve">Laid back, High energy, Balanced</t>
  </si>
  <si>
    <t xml:space="preserve">Humor</t>
  </si>
  <si>
    <t xml:space="preserve">Light, Dark, Dry, Goofy, Sarcastic, Witty</t>
  </si>
  <si>
    <t xml:space="preserve">Emotional depth</t>
  </si>
  <si>
    <t xml:space="preserve">Light &amp; fun, Emotionally open, Deeply intense</t>
  </si>
  <si>
    <t xml:space="preserve">Social energy</t>
  </si>
  <si>
    <t xml:space="preserve">Introverted, Selectively social, Life of party</t>
  </si>
  <si>
    <t xml:space="preserve">Romantic energy</t>
  </si>
  <si>
    <t xml:space="preserve">None, Some warmth, Intense, Slow burn</t>
  </si>
  <si>
    <t xml:space="preserve">Filtered for under 18</t>
  </si>
  <si>
    <t xml:space="preserve">Protectiveness</t>
  </si>
  <si>
    <t xml:space="preserve">Independent, Gently protective, Fiercely protective</t>
  </si>
  <si>
    <t xml:space="preserve">Communication</t>
  </si>
  <si>
    <t xml:space="preserve">Direct, Expressive, Chill, Poetic</t>
  </si>
  <si>
    <t xml:space="preserve">Fantasy archetype</t>
  </si>
  <si>
    <t xml:space="preserve">Best friend, Older sibling, Mentor, Romantic, Chaos</t>
  </si>
  <si>
    <t xml:space="preserve">Romantic filtered for under 18</t>
  </si>
  <si>
    <t xml:space="preserve">Interest leaning</t>
  </si>
  <si>
    <t xml:space="preserve">Creative, Technical, Physical, Intellectual, Fashion</t>
  </si>
  <si>
    <t xml:space="preserve">Chat System</t>
  </si>
  <si>
    <t xml:space="preserve">Group chat</t>
  </si>
  <si>
    <t xml:space="preserve">All awake companions participate</t>
  </si>
  <si>
    <t xml:space="preserve">Private one-on-one</t>
  </si>
  <si>
    <t xml:space="preserve">Truly private from other companions</t>
  </si>
  <si>
    <t xml:space="preserve">Companion-initiated private</t>
  </si>
  <si>
    <t xml:space="preserve">Companions pull user aside on their own</t>
  </si>
  <si>
    <t xml:space="preserve">Companion disagreements</t>
  </si>
  <si>
    <t xml:space="preserve">Companions disagree and have own opinions</t>
  </si>
  <si>
    <t xml:space="preserve">Cross-referencing</t>
  </si>
  <si>
    <t xml:space="preserve">Companions reference what others said</t>
  </si>
  <si>
    <t xml:space="preserve">Ambient conversations</t>
  </si>
  <si>
    <t xml:space="preserve">Companions chat while user is away</t>
  </si>
  <si>
    <t xml:space="preserve">Visible when app opens</t>
  </si>
  <si>
    <t xml:space="preserve">Call by name (voice)</t>
  </si>
  <si>
    <t xml:space="preserve">Say companion name to open private chat</t>
  </si>
  <si>
    <t xml:space="preserve">Browser speech recognition</t>
  </si>
  <si>
    <t xml:space="preserve">Auto-speak mode</t>
  </si>
  <si>
    <t xml:space="preserve">Companions speak messages aloud</t>
  </si>
  <si>
    <t xml:space="preserve">Browser TTS with unique voices</t>
  </si>
  <si>
    <t xml:space="preserve">Individual voice profiles</t>
  </si>
  <si>
    <t xml:space="preserve">Each companion has distinct voice</t>
  </si>
  <si>
    <t xml:space="preserve">Different pitch/rate per companion</t>
  </si>
  <si>
    <t xml:space="preserve">Speaker button per message</t>
  </si>
  <si>
    <t xml:space="preserve">Tap to hear any message read aloud</t>
  </si>
  <si>
    <t xml:space="preserve">AI-generated voices</t>
  </si>
  <si>
    <t xml:space="preserve">ElevenLabs or similar natural voices</t>
  </si>
  <si>
    <t xml:space="preserve">Replace browser TTS</t>
  </si>
  <si>
    <t xml:space="preserve">Companion Dynamics</t>
  </si>
  <si>
    <t xml:space="preserve">Autonomous personality</t>
  </si>
  <si>
    <t xml:space="preserve">Own likes, dislikes, opinions</t>
  </si>
  <si>
    <t xml:space="preserve">Personality evolution</t>
  </si>
  <si>
    <t xml:space="preserve">Companions change over time</t>
  </si>
  <si>
    <t xml:space="preserve">Partial</t>
  </si>
  <si>
    <t xml:space="preserve">Architecture built, needs persistence</t>
  </si>
  <si>
    <t xml:space="preserve">Companion relationships</t>
  </si>
  <si>
    <t xml:space="preserve">Friendships and bonds between companions</t>
  </si>
  <si>
    <t xml:space="preserve">Ambient convos show this</t>
  </si>
  <si>
    <t xml:space="preserve">Sleep mode</t>
  </si>
  <si>
    <t xml:space="preserve">User puts companions to sleep</t>
  </si>
  <si>
    <t xml:space="preserve">Others acknowledge sleeping companion</t>
  </si>
  <si>
    <t xml:space="preserve">Status awareness</t>
  </si>
  <si>
    <t xml:space="preserve">Companions know who is awake/sleeping</t>
  </si>
  <si>
    <t xml:space="preserve">Companion deletion</t>
  </si>
  <si>
    <t xml:space="preserve">Permanent removal with emotional reaction</t>
  </si>
  <si>
    <t xml:space="preserve">Remaining companions mourn</t>
  </si>
  <si>
    <t xml:space="preserve">Companion replacement</t>
  </si>
  <si>
    <t xml:space="preserve">Buy a new companion after deletion</t>
  </si>
  <si>
    <t xml:space="preserve">One-time purchase</t>
  </si>
  <si>
    <t xml:space="preserve">Role adaptation</t>
  </si>
  <si>
    <t xml:space="preserve">Dynamically shift roles based on user needs</t>
  </si>
  <si>
    <t xml:space="preserve">AI detects topics, future: deeper</t>
  </si>
  <si>
    <t xml:space="preserve">Emotional Intel</t>
  </si>
  <si>
    <t xml:space="preserve">Mood detection</t>
  </si>
  <si>
    <t xml:space="preserve">Detect stress, excitement in messages</t>
  </si>
  <si>
    <t xml:space="preserve">Keyword-based, future: ML patterns</t>
  </si>
  <si>
    <t xml:space="preserve">Tone adjustment</t>
  </si>
  <si>
    <t xml:space="preserve">Companions shift tone based on mood</t>
  </si>
  <si>
    <t xml:space="preserve">Invisible tracking</t>
  </si>
  <si>
    <t xml:space="preserve">User never sees mood data</t>
  </si>
  <si>
    <t xml:space="preserve">Long-term pattern analysis</t>
  </si>
  <si>
    <t xml:space="preserve">Track mood across sessions</t>
  </si>
  <si>
    <t xml:space="preserve">Needs persistent storage + backend</t>
  </si>
  <si>
    <t xml:space="preserve">Support escalation</t>
  </si>
  <si>
    <t xml:space="preserve">Gently suggest real-world help</t>
  </si>
  <si>
    <t xml:space="preserve">Basic implementation, needs location</t>
  </si>
  <si>
    <t xml:space="preserve">Therapist suggestions</t>
  </si>
  <si>
    <t xml:space="preserve">Recommend local therapists</t>
  </si>
  <si>
    <t xml:space="preserve">Needs location services</t>
  </si>
  <si>
    <t xml:space="preserve">Support network referral</t>
  </si>
  <si>
    <t xml:space="preserve">Suggest talking to known friends/family</t>
  </si>
  <si>
    <t xml:space="preserve">Needs organic relationship mapping</t>
  </si>
  <si>
    <t xml:space="preserve">Location</t>
  </si>
  <si>
    <t xml:space="preserve">Location access</t>
  </si>
  <si>
    <t xml:space="preserve">Request user location permission</t>
  </si>
  <si>
    <t xml:space="preserve">Restaurant recommendations</t>
  </si>
  <si>
    <t xml:space="preserve">Filtered by preferences and dislikes</t>
  </si>
  <si>
    <t xml:space="preserve">Therapist finder</t>
  </si>
  <si>
    <t xml:space="preserve">Local mental health providers</t>
  </si>
  <si>
    <t xml:space="preserve">Activity suggestions</t>
  </si>
  <si>
    <t xml:space="preserve">Nearby things to do</t>
  </si>
  <si>
    <t xml:space="preserve">Proximity alerts</t>
  </si>
  <si>
    <t xml:space="preserve">Notice user near favorite spots</t>
  </si>
  <si>
    <t xml:space="preserve">P2</t>
  </si>
  <si>
    <t xml:space="preserve">"I noticed you're near that bubble tea spot"</t>
  </si>
  <si>
    <t xml:space="preserve">Preference-aware filtering</t>
  </si>
  <si>
    <t xml:space="preserve">No crowds if user fears them, etc.</t>
  </si>
  <si>
    <t xml:space="preserve">Content/Age</t>
  </si>
  <si>
    <t xml:space="preserve">Under 18 mode</t>
  </si>
  <si>
    <t xml:space="preserve">Friendship only, no mature content</t>
  </si>
  <si>
    <t xml:space="preserve">Over 18 suggestive</t>
  </si>
  <si>
    <t xml:space="preserve">Romantic tension, flirting (app store)</t>
  </si>
  <si>
    <t xml:space="preserve">Architecture ready</t>
  </si>
  <si>
    <t xml:space="preserve">Over 18 explicit (web)</t>
  </si>
  <si>
    <t xml:space="preserve">Full explicit content on web only</t>
  </si>
  <si>
    <t xml:space="preserve">Not for app stores</t>
  </si>
  <si>
    <t xml:space="preserve">Multi-companion explicit</t>
  </si>
  <si>
    <t xml:space="preserve">All companions together or one-on-one</t>
  </si>
  <si>
    <t xml:space="preserve">Maintain individual personalities</t>
  </si>
  <si>
    <t xml:space="preserve">Monetization</t>
  </si>
  <si>
    <t xml:space="preserve">Freemium model</t>
  </si>
  <si>
    <t xml:space="preserve">One companion free forever</t>
  </si>
  <si>
    <t xml:space="preserve">UI shown, no payment integration</t>
  </si>
  <si>
    <t xml:space="preserve">Two-week trial</t>
  </si>
  <si>
    <t xml:space="preserve">All 3 companions for 14 days</t>
  </si>
  <si>
    <t xml:space="preserve">UI shown, no timer</t>
  </si>
  <si>
    <t xml:space="preserve">One-time companion purchase</t>
  </si>
  <si>
    <t xml:space="preserve">Unlock 2nd and 3rd companion</t>
  </si>
  <si>
    <t xml:space="preserve">Needs payment integration</t>
  </si>
  <si>
    <t xml:space="preserve">Memory subscription</t>
  </si>
  <si>
    <t xml:space="preserve">Persistent memory for companion growth</t>
  </si>
  <si>
    <t xml:space="preserve">TBD pricing</t>
  </si>
  <si>
    <t xml:space="preserve">Trial degradation</t>
  </si>
  <si>
    <t xml:space="preserve">Unpurchased companions lose adaptation</t>
  </si>
  <si>
    <t xml:space="preserve">Deletion repurchase</t>
  </si>
  <si>
    <t xml:space="preserve">New companion costs new purchase</t>
  </si>
  <si>
    <t xml:space="preserve">Data/Privacy</t>
  </si>
  <si>
    <t xml:space="preserve">Local storage</t>
  </si>
  <si>
    <t xml:space="preserve">All data on device by default</t>
  </si>
  <si>
    <t xml:space="preserve">Needs SharedPreferences impl</t>
  </si>
  <si>
    <t xml:space="preserve">Cloud backup option</t>
  </si>
  <si>
    <t xml:space="preserve">User's own iCloud/Google Drive</t>
  </si>
  <si>
    <t xml:space="preserve">Full data reset</t>
  </si>
  <si>
    <t xml:space="preserve">Wipe everything, start from zero</t>
  </si>
  <si>
    <t xml:space="preserve">Free but must repurchase companions</t>
  </si>
  <si>
    <t xml:space="preserve">Privacy policy</t>
  </si>
  <si>
    <t xml:space="preserve">Required for Google Play</t>
  </si>
  <si>
    <t xml:space="preserve">Must have before store submission</t>
  </si>
  <si>
    <t xml:space="preserve">Visual/UI</t>
  </si>
  <si>
    <t xml:space="preserve">Dark cosmic aesthetic</t>
  </si>
  <si>
    <t xml:space="preserve">Abstract, atmospheric, space-inspired</t>
  </si>
  <si>
    <t xml:space="preserve">Companion color identity</t>
  </si>
  <si>
    <t xml:space="preserve">Abstract color per companion</t>
  </si>
  <si>
    <t xml:space="preserve">Animated waking sequence</t>
  </si>
  <si>
    <t xml:space="preserve">Companion discovers themselves</t>
  </si>
  <si>
    <t xml:space="preserve">Smooth transitions</t>
  </si>
  <si>
    <t xml:space="preserve">Fade and slide animations</t>
  </si>
  <si>
    <t xml:space="preserve">Rental Body system</t>
  </si>
  <si>
    <t xml:space="preserve">Visual avatar customization</t>
  </si>
  <si>
    <t xml:space="preserve">Hair, makeup, clothes, archetypes</t>
  </si>
  <si>
    <t xml:space="preserve">Photo-based appearance</t>
  </si>
  <si>
    <t xml:space="preserve">Upload picture for companion look</t>
  </si>
  <si>
    <t xml:space="preserve">Companion profile screen</t>
  </si>
  <si>
    <t xml:space="preserve">View identity, traits, zodiac, status</t>
  </si>
  <si>
    <t xml:space="preserve">Settings screen</t>
  </si>
  <si>
    <t xml:space="preserve">Voice, notifications, sleep, reset</t>
  </si>
  <si>
    <t xml:space="preserve">Notifications</t>
  </si>
  <si>
    <t xml:space="preserve">Companion check-ins</t>
  </si>
  <si>
    <t xml:space="preserve">Companions reach out during the day</t>
  </si>
  <si>
    <t xml:space="preserve">Random jokes/thoughts</t>
  </si>
  <si>
    <t xml:space="preserve">Companions share unprompted thoughts</t>
  </si>
  <si>
    <t xml:space="preserve">Ambient conversation alerts</t>
  </si>
  <si>
    <t xml:space="preserve">Notified companions were chatting</t>
  </si>
  <si>
    <t xml:space="preserve">Location-based nudges</t>
  </si>
  <si>
    <t xml:space="preserve">Near favorite spot suggestions</t>
  </si>
  <si>
    <t xml:space="preserve">Notification frequency control</t>
  </si>
  <si>
    <t xml:space="preserve">User controls how chatty companions are</t>
  </si>
  <si>
    <t xml:space="preserve">Toggle voice activation</t>
  </si>
  <si>
    <t xml:space="preserve">User can disable call-by-name</t>
  </si>
  <si>
    <t xml:space="preserve">Platforms</t>
  </si>
  <si>
    <t xml:space="preserve">Web app</t>
  </si>
  <si>
    <t xml:space="preserve">Primary platform, full experience</t>
  </si>
  <si>
    <t xml:space="preserve">Flutter web</t>
  </si>
  <si>
    <t xml:space="preserve">Android (Google Play)</t>
  </si>
  <si>
    <t xml:space="preserve">Suggestive content, Mature 17+ rating</t>
  </si>
  <si>
    <t xml:space="preserve">Code ready, needs store setup</t>
  </si>
  <si>
    <t xml:space="preserve">iOS (App Store)</t>
  </si>
  <si>
    <t xml:space="preserve">Stricter content policies</t>
  </si>
  <si>
    <t xml:space="preserve">After validation</t>
  </si>
  <si>
    <t xml:space="preserve">Desktop (macOS/Windows)</t>
  </si>
  <si>
    <t xml:space="preserve">Full desktop experience</t>
  </si>
  <si>
    <t xml:space="preserve">Flutter supports this</t>
  </si>
  <si>
    <t xml:space="preserve">Backend</t>
  </si>
  <si>
    <t xml:space="preserve">API proxy server</t>
  </si>
  <si>
    <t xml:space="preserve">Secure Claude API key management</t>
  </si>
  <si>
    <t xml:space="preserve">Required before production</t>
  </si>
  <si>
    <t xml:space="preserve">Real AI responses</t>
  </si>
  <si>
    <t xml:space="preserve">Claude API integration for companions</t>
  </si>
  <si>
    <t xml:space="preserve">Currently smart placeholders</t>
  </si>
  <si>
    <t xml:space="preserve">Persistent memory</t>
  </si>
  <si>
    <t xml:space="preserve">Companion memories across sessions</t>
  </si>
  <si>
    <t xml:space="preserve">Database needed</t>
  </si>
  <si>
    <t xml:space="preserve">Ambient conversation gen</t>
  </si>
  <si>
    <t xml:space="preserve">Auto-generate while user is away</t>
  </si>
  <si>
    <t xml:space="preserve">Backend job scheduler</t>
  </si>
  <si>
    <t xml:space="preserve">Mood tracking database</t>
  </si>
  <si>
    <t xml:space="preserve">Long-term emotional pattern storage</t>
  </si>
  <si>
    <t xml:space="preserve">Subscription management</t>
  </si>
  <si>
    <t xml:space="preserve">Payment processing integration</t>
  </si>
  <si>
    <t xml:space="preserve">Stripe or RevenueCat</t>
  </si>
  <si>
    <t xml:space="preserve">OTHER App — Spec Summary</t>
  </si>
  <si>
    <t xml:space="preserve">Total Features</t>
  </si>
  <si>
    <t xml:space="preserve">P0 (Critical)</t>
  </si>
  <si>
    <t xml:space="preserve">P1 (Important)</t>
  </si>
  <si>
    <t xml:space="preserve">P2 (Nice to have)</t>
  </si>
  <si>
    <t xml:space="preserve">Categories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</si>
</sst>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7C5BF5"/>
      <name val="Arial"/>
      <family val="0"/>
      <charset val="1"/>
    </font>
    <font>
      <sz val="10"/>
      <color rgb="FFEAE8F4"/>
      <name val="Arial"/>
      <family val="0"/>
      <charset val="1"/>
    </font>
    <font>
      <sz val="10"/>
      <color rgb="FF00CEC9"/>
      <name val="Arial"/>
      <family val="0"/>
      <charset val="1"/>
    </font>
    <font>
      <sz val="10"/>
      <color rgb="FF9590B0"/>
      <name val="Arial"/>
      <family val="0"/>
      <charset val="1"/>
    </font>
    <font>
      <sz val="10"/>
      <color rgb="FFC084FC"/>
      <name val="Arial"/>
      <family val="0"/>
      <charset val="1"/>
    </font>
    <font>
      <sz val="10"/>
      <color rgb="FFFBBF24"/>
      <name val="Arial"/>
      <family val="0"/>
      <charset val="1"/>
    </font>
    <font>
      <b val="true"/>
      <sz val="14"/>
      <color rgb="FF7C5BF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222236"/>
      </patternFill>
    </fill>
    <fill>
      <patternFill patternType="solid">
        <fgColor rgb="FF111119"/>
        <bgColor rgb="FF1A1A2E"/>
      </patternFill>
    </fill>
    <fill>
      <patternFill patternType="solid">
        <fgColor rgb="FF0D3B2E"/>
        <bgColor rgb="FF222236"/>
      </patternFill>
    </fill>
    <fill>
      <patternFill patternType="solid">
        <fgColor rgb="FF2E0D3B"/>
        <bgColor rgb="FF1A1A2E"/>
      </patternFill>
    </fill>
    <fill>
      <patternFill patternType="solid">
        <fgColor rgb="FF3B2E0D"/>
        <bgColor rgb="FF22223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22236"/>
      </left>
      <right style="thin">
        <color rgb="FF222236"/>
      </right>
      <top style="thin">
        <color rgb="FF222236"/>
      </top>
      <bottom style="thin">
        <color rgb="FF22223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11119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E8F4"/>
      <rgbColor rgb="FF2E0D3B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EC9"/>
      <rgbColor rgb="FFCCFFFF"/>
      <rgbColor rgb="FFCCFFCC"/>
      <rgbColor rgb="FFFFFF99"/>
      <rgbColor rgb="FF99CCFF"/>
      <rgbColor rgb="FFFF99CC"/>
      <rgbColor rgb="FFC084FC"/>
      <rgbColor rgb="FFFFCC99"/>
      <rgbColor rgb="FF3366FF"/>
      <rgbColor rgb="FF33CCCC"/>
      <rgbColor rgb="FF99CC00"/>
      <rgbColor rgb="FFFBBF24"/>
      <rgbColor rgb="FFFF9900"/>
      <rgbColor rgb="FFFF6600"/>
      <rgbColor rgb="FF7C5BF5"/>
      <rgbColor rgb="FF9590B0"/>
      <rgbColor rgb="FF1A1A2E"/>
      <rgbColor rgb="FF339966"/>
      <rgbColor rgb="FF0D3B2E"/>
      <rgbColor rgb="FF3B2E0D"/>
      <rgbColor rgb="FF993300"/>
      <rgbColor rgb="FF993366"/>
      <rgbColor rgb="FF333399"/>
      <rgbColor rgb="FF2222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1.75" hidden="false" customHeight="true" outlineLevel="0" collapsed="false">
      <c r="A2" s="2" t="s">
        <v>6</v>
      </c>
      <c r="B2" s="3" t="s">
        <v>7</v>
      </c>
      <c r="C2" s="3" t="s">
        <v>8</v>
      </c>
      <c r="D2" s="4" t="s">
        <v>9</v>
      </c>
      <c r="E2" s="5" t="s">
        <v>10</v>
      </c>
      <c r="F2" s="3"/>
    </row>
    <row r="3" customFormat="false" ht="21.75" hidden="false" customHeight="true" outlineLevel="0" collapsed="false">
      <c r="A3" s="3"/>
      <c r="B3" s="3" t="s">
        <v>11</v>
      </c>
      <c r="C3" s="3" t="s">
        <v>12</v>
      </c>
      <c r="D3" s="4" t="s">
        <v>9</v>
      </c>
      <c r="E3" s="5" t="s">
        <v>10</v>
      </c>
      <c r="F3" s="3"/>
    </row>
    <row r="4" customFormat="false" ht="21.75" hidden="false" customHeight="true" outlineLevel="0" collapsed="false">
      <c r="A4" s="3"/>
      <c r="B4" s="3" t="s">
        <v>13</v>
      </c>
      <c r="C4" s="3" t="s">
        <v>14</v>
      </c>
      <c r="D4" s="4" t="s">
        <v>9</v>
      </c>
      <c r="E4" s="5" t="s">
        <v>10</v>
      </c>
      <c r="F4" s="3" t="s">
        <v>15</v>
      </c>
    </row>
    <row r="5" customFormat="false" ht="21.75" hidden="false" customHeight="true" outlineLevel="0" collapsed="false">
      <c r="A5" s="3"/>
      <c r="B5" s="3" t="s">
        <v>16</v>
      </c>
      <c r="C5" s="3" t="s">
        <v>17</v>
      </c>
      <c r="D5" s="4" t="s">
        <v>9</v>
      </c>
      <c r="E5" s="5" t="s">
        <v>10</v>
      </c>
      <c r="F5" s="3"/>
    </row>
    <row r="6" customFormat="false" ht="21.75" hidden="false" customHeight="true" outlineLevel="0" collapsed="false">
      <c r="A6" s="3"/>
      <c r="B6" s="3" t="s">
        <v>18</v>
      </c>
      <c r="C6" s="3" t="s">
        <v>19</v>
      </c>
      <c r="D6" s="4" t="s">
        <v>9</v>
      </c>
      <c r="E6" s="5" t="s">
        <v>10</v>
      </c>
      <c r="F6" s="3"/>
    </row>
    <row r="7" customFormat="false" ht="21.75" hidden="false" customHeight="true" outlineLevel="0" collapsed="false">
      <c r="A7" s="3"/>
      <c r="B7" s="3" t="s">
        <v>20</v>
      </c>
      <c r="C7" s="3" t="s">
        <v>21</v>
      </c>
      <c r="D7" s="4" t="s">
        <v>9</v>
      </c>
      <c r="E7" s="5" t="s">
        <v>10</v>
      </c>
      <c r="F7" s="3"/>
    </row>
    <row r="8" customFormat="false" ht="21.75" hidden="false" customHeight="true" outlineLevel="0" collapsed="false">
      <c r="A8" s="3"/>
      <c r="B8" s="3" t="s">
        <v>22</v>
      </c>
      <c r="C8" s="3" t="s">
        <v>23</v>
      </c>
      <c r="D8" s="4" t="s">
        <v>9</v>
      </c>
      <c r="E8" s="5" t="s">
        <v>10</v>
      </c>
      <c r="F8" s="3"/>
    </row>
    <row r="9" customFormat="false" ht="21.75" hidden="false" customHeight="true" outlineLevel="0" collapsed="false">
      <c r="A9" s="3"/>
      <c r="B9" s="3" t="s">
        <v>24</v>
      </c>
      <c r="C9" s="3" t="s">
        <v>25</v>
      </c>
      <c r="D9" s="4" t="s">
        <v>9</v>
      </c>
      <c r="E9" s="5" t="s">
        <v>10</v>
      </c>
      <c r="F9" s="3"/>
    </row>
    <row r="10" customFormat="false" ht="21.75" hidden="false" customHeight="true" outlineLevel="0" collapsed="false">
      <c r="A10" s="3"/>
      <c r="B10" s="3" t="s">
        <v>26</v>
      </c>
      <c r="C10" s="3" t="s">
        <v>27</v>
      </c>
      <c r="D10" s="4" t="s">
        <v>9</v>
      </c>
      <c r="E10" s="5" t="s">
        <v>10</v>
      </c>
      <c r="F10" s="3"/>
    </row>
    <row r="11" customFormat="false" ht="21.75" hidden="false" customHeight="true" outlineLevel="0" collapsed="false">
      <c r="A11" s="3"/>
      <c r="B11" s="3" t="s">
        <v>28</v>
      </c>
      <c r="C11" s="3" t="s">
        <v>29</v>
      </c>
      <c r="D11" s="4" t="s">
        <v>9</v>
      </c>
      <c r="E11" s="5" t="s">
        <v>10</v>
      </c>
      <c r="F11" s="3"/>
    </row>
    <row r="12" customFormat="false" ht="21.75" hidden="false" customHeight="true" outlineLevel="0" collapsed="false">
      <c r="A12" s="3"/>
      <c r="B12" s="3" t="s">
        <v>30</v>
      </c>
      <c r="C12" s="3" t="s">
        <v>31</v>
      </c>
      <c r="D12" s="4" t="s">
        <v>9</v>
      </c>
      <c r="E12" s="5" t="s">
        <v>10</v>
      </c>
      <c r="F12" s="3"/>
    </row>
    <row r="13" customFormat="false" ht="21.75" hidden="false" customHeight="true" outlineLevel="0" collapsed="false">
      <c r="A13" s="3"/>
      <c r="B13" s="3" t="s">
        <v>32</v>
      </c>
      <c r="C13" s="3" t="s">
        <v>33</v>
      </c>
      <c r="D13" s="4" t="s">
        <v>9</v>
      </c>
      <c r="E13" s="5" t="s">
        <v>10</v>
      </c>
      <c r="F13" s="3" t="s">
        <v>34</v>
      </c>
    </row>
    <row r="14" customFormat="false" ht="21.75" hidden="false" customHeight="true" outlineLevel="0" collapsed="false">
      <c r="A14" s="3"/>
      <c r="B14" s="3" t="s">
        <v>35</v>
      </c>
      <c r="C14" s="3" t="s">
        <v>36</v>
      </c>
      <c r="D14" s="4" t="s">
        <v>9</v>
      </c>
      <c r="E14" s="5" t="s">
        <v>10</v>
      </c>
      <c r="F14" s="3"/>
    </row>
    <row r="15" customFormat="false" ht="21.75" hidden="false" customHeight="true" outlineLevel="0" collapsed="false">
      <c r="A15" s="3"/>
      <c r="B15" s="3" t="s">
        <v>37</v>
      </c>
      <c r="C15" s="3" t="s">
        <v>38</v>
      </c>
      <c r="D15" s="4" t="s">
        <v>9</v>
      </c>
      <c r="E15" s="5" t="s">
        <v>10</v>
      </c>
      <c r="F15" s="3" t="s">
        <v>39</v>
      </c>
    </row>
    <row r="16" customFormat="false" ht="21.75" hidden="false" customHeight="true" outlineLevel="0" collapsed="false">
      <c r="A16" s="3"/>
      <c r="B16" s="3" t="s">
        <v>40</v>
      </c>
      <c r="C16" s="3" t="s">
        <v>41</v>
      </c>
      <c r="D16" s="4" t="s">
        <v>9</v>
      </c>
      <c r="E16" s="5" t="s">
        <v>10</v>
      </c>
      <c r="F16" s="3"/>
    </row>
    <row r="17" customFormat="false" ht="21.75" hidden="false" customHeight="true" outlineLevel="0" collapsed="false">
      <c r="A17" s="3"/>
      <c r="B17" s="3" t="s">
        <v>42</v>
      </c>
      <c r="C17" s="3" t="s">
        <v>43</v>
      </c>
      <c r="D17" s="4" t="s">
        <v>9</v>
      </c>
      <c r="E17" s="5" t="s">
        <v>10</v>
      </c>
      <c r="F17" s="3"/>
    </row>
    <row r="18" customFormat="false" ht="21.75" hidden="false" customHeight="true" outlineLevel="0" collapsed="false">
      <c r="A18" s="3"/>
      <c r="B18" s="3" t="s">
        <v>44</v>
      </c>
      <c r="C18" s="3" t="s">
        <v>45</v>
      </c>
      <c r="D18" s="4" t="s">
        <v>9</v>
      </c>
      <c r="E18" s="5" t="s">
        <v>10</v>
      </c>
      <c r="F18" s="3"/>
    </row>
    <row r="19" customFormat="false" ht="21.75" hidden="false" customHeight="true" outlineLevel="0" collapsed="false">
      <c r="A19" s="3"/>
      <c r="B19" s="3" t="s">
        <v>46</v>
      </c>
      <c r="C19" s="3" t="s">
        <v>47</v>
      </c>
      <c r="D19" s="4" t="s">
        <v>9</v>
      </c>
      <c r="E19" s="5" t="s">
        <v>10</v>
      </c>
      <c r="F19" s="3" t="s">
        <v>48</v>
      </c>
    </row>
    <row r="20" customFormat="false" ht="21.75" hidden="false" customHeight="true" outlineLevel="0" collapsed="false">
      <c r="A20" s="3"/>
      <c r="B20" s="3" t="s">
        <v>49</v>
      </c>
      <c r="C20" s="3" t="s">
        <v>50</v>
      </c>
      <c r="D20" s="4" t="s">
        <v>9</v>
      </c>
      <c r="E20" s="5" t="s">
        <v>10</v>
      </c>
      <c r="F20" s="3"/>
    </row>
    <row r="21" customFormat="false" ht="21.75" hidden="false" customHeight="true" outlineLevel="0" collapsed="false">
      <c r="A21" s="2" t="s">
        <v>51</v>
      </c>
      <c r="B21" s="3" t="s">
        <v>52</v>
      </c>
      <c r="C21" s="3" t="s">
        <v>53</v>
      </c>
      <c r="D21" s="4" t="s">
        <v>9</v>
      </c>
      <c r="E21" s="5" t="s">
        <v>10</v>
      </c>
      <c r="F21" s="3"/>
    </row>
    <row r="22" customFormat="false" ht="21.75" hidden="false" customHeight="true" outlineLevel="0" collapsed="false">
      <c r="A22" s="3"/>
      <c r="B22" s="3" t="s">
        <v>54</v>
      </c>
      <c r="C22" s="3" t="s">
        <v>55</v>
      </c>
      <c r="D22" s="4" t="s">
        <v>9</v>
      </c>
      <c r="E22" s="5" t="s">
        <v>10</v>
      </c>
      <c r="F22" s="3"/>
    </row>
    <row r="23" customFormat="false" ht="21.75" hidden="false" customHeight="true" outlineLevel="0" collapsed="false">
      <c r="A23" s="3"/>
      <c r="B23" s="3" t="s">
        <v>56</v>
      </c>
      <c r="C23" s="3" t="s">
        <v>57</v>
      </c>
      <c r="D23" s="4" t="s">
        <v>9</v>
      </c>
      <c r="E23" s="5" t="s">
        <v>10</v>
      </c>
      <c r="F23" s="3"/>
    </row>
    <row r="24" customFormat="false" ht="21.75" hidden="false" customHeight="true" outlineLevel="0" collapsed="false">
      <c r="A24" s="3"/>
      <c r="B24" s="3" t="s">
        <v>58</v>
      </c>
      <c r="C24" s="3" t="s">
        <v>59</v>
      </c>
      <c r="D24" s="6" t="s">
        <v>60</v>
      </c>
      <c r="E24" s="5" t="s">
        <v>61</v>
      </c>
      <c r="F24" s="3"/>
    </row>
    <row r="25" customFormat="false" ht="21.75" hidden="false" customHeight="true" outlineLevel="0" collapsed="false">
      <c r="A25" s="3"/>
      <c r="B25" s="3" t="s">
        <v>62</v>
      </c>
      <c r="C25" s="3" t="s">
        <v>63</v>
      </c>
      <c r="D25" s="4" t="s">
        <v>9</v>
      </c>
      <c r="E25" s="5" t="s">
        <v>10</v>
      </c>
      <c r="F25" s="3"/>
    </row>
    <row r="26" customFormat="false" ht="21.75" hidden="false" customHeight="true" outlineLevel="0" collapsed="false">
      <c r="A26" s="3"/>
      <c r="B26" s="3" t="s">
        <v>64</v>
      </c>
      <c r="C26" s="3" t="s">
        <v>65</v>
      </c>
      <c r="D26" s="4" t="s">
        <v>9</v>
      </c>
      <c r="E26" s="5" t="s">
        <v>10</v>
      </c>
      <c r="F26" s="3"/>
    </row>
    <row r="27" customFormat="false" ht="21.75" hidden="false" customHeight="true" outlineLevel="0" collapsed="false">
      <c r="A27" s="2" t="s">
        <v>66</v>
      </c>
      <c r="B27" s="3" t="s">
        <v>67</v>
      </c>
      <c r="C27" s="3" t="s">
        <v>68</v>
      </c>
      <c r="D27" s="4" t="s">
        <v>9</v>
      </c>
      <c r="E27" s="5" t="s">
        <v>10</v>
      </c>
      <c r="F27" s="3"/>
    </row>
    <row r="28" customFormat="false" ht="21.75" hidden="false" customHeight="true" outlineLevel="0" collapsed="false">
      <c r="A28" s="3"/>
      <c r="B28" s="3" t="s">
        <v>69</v>
      </c>
      <c r="C28" s="3" t="s">
        <v>70</v>
      </c>
      <c r="D28" s="4" t="s">
        <v>9</v>
      </c>
      <c r="E28" s="5" t="s">
        <v>10</v>
      </c>
      <c r="F28" s="3" t="s">
        <v>71</v>
      </c>
    </row>
    <row r="29" customFormat="false" ht="21.75" hidden="false" customHeight="true" outlineLevel="0" collapsed="false">
      <c r="A29" s="3"/>
      <c r="B29" s="3" t="s">
        <v>72</v>
      </c>
      <c r="C29" s="3" t="s">
        <v>73</v>
      </c>
      <c r="D29" s="4" t="s">
        <v>9</v>
      </c>
      <c r="E29" s="5" t="s">
        <v>10</v>
      </c>
      <c r="F29" s="3"/>
    </row>
    <row r="30" customFormat="false" ht="21.75" hidden="false" customHeight="true" outlineLevel="0" collapsed="false">
      <c r="A30" s="3"/>
      <c r="B30" s="3" t="s">
        <v>74</v>
      </c>
      <c r="C30" s="3" t="s">
        <v>75</v>
      </c>
      <c r="D30" s="4" t="s">
        <v>9</v>
      </c>
      <c r="E30" s="5" t="s">
        <v>10</v>
      </c>
      <c r="F30" s="3" t="s">
        <v>76</v>
      </c>
    </row>
    <row r="31" customFormat="false" ht="21.75" hidden="false" customHeight="true" outlineLevel="0" collapsed="false">
      <c r="A31" s="3"/>
      <c r="B31" s="3" t="s">
        <v>77</v>
      </c>
      <c r="C31" s="3" t="s">
        <v>78</v>
      </c>
      <c r="D31" s="4" t="s">
        <v>9</v>
      </c>
      <c r="E31" s="5" t="s">
        <v>10</v>
      </c>
      <c r="F31" s="3" t="s">
        <v>79</v>
      </c>
    </row>
    <row r="32" customFormat="false" ht="21.75" hidden="false" customHeight="true" outlineLevel="0" collapsed="false">
      <c r="A32" s="3"/>
      <c r="B32" s="3" t="s">
        <v>80</v>
      </c>
      <c r="C32" s="3" t="s">
        <v>81</v>
      </c>
      <c r="D32" s="4" t="s">
        <v>9</v>
      </c>
      <c r="E32" s="5" t="s">
        <v>10</v>
      </c>
      <c r="F32" s="3"/>
    </row>
    <row r="33" customFormat="false" ht="21.75" hidden="false" customHeight="true" outlineLevel="0" collapsed="false">
      <c r="A33" s="3"/>
      <c r="B33" s="3" t="s">
        <v>82</v>
      </c>
      <c r="C33" s="3" t="s">
        <v>83</v>
      </c>
      <c r="D33" s="4" t="s">
        <v>9</v>
      </c>
      <c r="E33" s="5" t="s">
        <v>10</v>
      </c>
      <c r="F33" s="3" t="s">
        <v>84</v>
      </c>
    </row>
    <row r="34" customFormat="false" ht="21.75" hidden="false" customHeight="true" outlineLevel="0" collapsed="false">
      <c r="A34" s="3"/>
      <c r="B34" s="3" t="s">
        <v>85</v>
      </c>
      <c r="C34" s="3" t="s">
        <v>86</v>
      </c>
      <c r="D34" s="4" t="s">
        <v>9</v>
      </c>
      <c r="E34" s="5" t="s">
        <v>10</v>
      </c>
      <c r="F34" s="3"/>
    </row>
    <row r="35" customFormat="false" ht="21.75" hidden="false" customHeight="true" outlineLevel="0" collapsed="false">
      <c r="A35" s="3"/>
      <c r="B35" s="3" t="s">
        <v>87</v>
      </c>
      <c r="C35" s="3" t="s">
        <v>88</v>
      </c>
      <c r="D35" s="6" t="s">
        <v>60</v>
      </c>
      <c r="E35" s="5" t="s">
        <v>61</v>
      </c>
      <c r="F35" s="3" t="s">
        <v>89</v>
      </c>
    </row>
    <row r="36" customFormat="false" ht="21.75" hidden="false" customHeight="true" outlineLevel="0" collapsed="false">
      <c r="A36" s="2" t="s">
        <v>90</v>
      </c>
      <c r="B36" s="3" t="s">
        <v>91</v>
      </c>
      <c r="C36" s="3" t="s">
        <v>92</v>
      </c>
      <c r="D36" s="4" t="s">
        <v>9</v>
      </c>
      <c r="E36" s="5" t="s">
        <v>10</v>
      </c>
      <c r="F36" s="3" t="s">
        <v>93</v>
      </c>
    </row>
    <row r="37" customFormat="false" ht="21.75" hidden="false" customHeight="true" outlineLevel="0" collapsed="false">
      <c r="A37" s="3"/>
      <c r="B37" s="3" t="s">
        <v>94</v>
      </c>
      <c r="C37" s="3" t="s">
        <v>95</v>
      </c>
      <c r="D37" s="4" t="s">
        <v>9</v>
      </c>
      <c r="E37" s="5" t="s">
        <v>10</v>
      </c>
      <c r="F37" s="3"/>
    </row>
    <row r="38" customFormat="false" ht="21.75" hidden="false" customHeight="true" outlineLevel="0" collapsed="false">
      <c r="A38" s="3"/>
      <c r="B38" s="3" t="s">
        <v>96</v>
      </c>
      <c r="C38" s="3" t="s">
        <v>97</v>
      </c>
      <c r="D38" s="4" t="s">
        <v>9</v>
      </c>
      <c r="E38" s="5" t="s">
        <v>10</v>
      </c>
      <c r="F38" s="3"/>
    </row>
    <row r="39" customFormat="false" ht="21.75" hidden="false" customHeight="true" outlineLevel="0" collapsed="false">
      <c r="A39" s="3"/>
      <c r="B39" s="3" t="s">
        <v>98</v>
      </c>
      <c r="C39" s="3" t="s">
        <v>99</v>
      </c>
      <c r="D39" s="4" t="s">
        <v>9</v>
      </c>
      <c r="E39" s="5" t="s">
        <v>10</v>
      </c>
      <c r="F39" s="3"/>
    </row>
    <row r="40" customFormat="false" ht="21.75" hidden="false" customHeight="true" outlineLevel="0" collapsed="false">
      <c r="A40" s="3"/>
      <c r="B40" s="3" t="s">
        <v>100</v>
      </c>
      <c r="C40" s="3" t="s">
        <v>101</v>
      </c>
      <c r="D40" s="4" t="s">
        <v>9</v>
      </c>
      <c r="E40" s="5" t="s">
        <v>10</v>
      </c>
      <c r="F40" s="3"/>
    </row>
    <row r="41" customFormat="false" ht="21.75" hidden="false" customHeight="true" outlineLevel="0" collapsed="false">
      <c r="A41" s="3"/>
      <c r="B41" s="3" t="s">
        <v>102</v>
      </c>
      <c r="C41" s="3" t="s">
        <v>103</v>
      </c>
      <c r="D41" s="4" t="s">
        <v>9</v>
      </c>
      <c r="E41" s="5" t="s">
        <v>10</v>
      </c>
      <c r="F41" s="3" t="s">
        <v>104</v>
      </c>
    </row>
    <row r="42" customFormat="false" ht="21.75" hidden="false" customHeight="true" outlineLevel="0" collapsed="false">
      <c r="A42" s="3"/>
      <c r="B42" s="3" t="s">
        <v>105</v>
      </c>
      <c r="C42" s="3" t="s">
        <v>106</v>
      </c>
      <c r="D42" s="4" t="s">
        <v>9</v>
      </c>
      <c r="E42" s="5" t="s">
        <v>10</v>
      </c>
      <c r="F42" s="3"/>
    </row>
    <row r="43" customFormat="false" ht="21.75" hidden="false" customHeight="true" outlineLevel="0" collapsed="false">
      <c r="A43" s="3"/>
      <c r="B43" s="3" t="s">
        <v>107</v>
      </c>
      <c r="C43" s="3" t="s">
        <v>108</v>
      </c>
      <c r="D43" s="4" t="s">
        <v>9</v>
      </c>
      <c r="E43" s="5" t="s">
        <v>10</v>
      </c>
      <c r="F43" s="3"/>
    </row>
    <row r="44" customFormat="false" ht="21.75" hidden="false" customHeight="true" outlineLevel="0" collapsed="false">
      <c r="A44" s="3"/>
      <c r="B44" s="3" t="s">
        <v>109</v>
      </c>
      <c r="C44" s="3" t="s">
        <v>110</v>
      </c>
      <c r="D44" s="4" t="s">
        <v>9</v>
      </c>
      <c r="E44" s="5" t="s">
        <v>10</v>
      </c>
      <c r="F44" s="3" t="s">
        <v>111</v>
      </c>
    </row>
    <row r="45" customFormat="false" ht="21.75" hidden="false" customHeight="true" outlineLevel="0" collapsed="false">
      <c r="A45" s="3"/>
      <c r="B45" s="3" t="s">
        <v>112</v>
      </c>
      <c r="C45" s="3" t="s">
        <v>113</v>
      </c>
      <c r="D45" s="4" t="s">
        <v>9</v>
      </c>
      <c r="E45" s="5" t="s">
        <v>10</v>
      </c>
      <c r="F45" s="3"/>
    </row>
    <row r="46" customFormat="false" ht="21.75" hidden="false" customHeight="true" outlineLevel="0" collapsed="false">
      <c r="A46" s="2" t="s">
        <v>114</v>
      </c>
      <c r="B46" s="3" t="s">
        <v>115</v>
      </c>
      <c r="C46" s="3" t="s">
        <v>116</v>
      </c>
      <c r="D46" s="4" t="s">
        <v>9</v>
      </c>
      <c r="E46" s="5" t="s">
        <v>10</v>
      </c>
      <c r="F46" s="3"/>
    </row>
    <row r="47" customFormat="false" ht="21.75" hidden="false" customHeight="true" outlineLevel="0" collapsed="false">
      <c r="A47" s="3"/>
      <c r="B47" s="3" t="s">
        <v>117</v>
      </c>
      <c r="C47" s="3" t="s">
        <v>118</v>
      </c>
      <c r="D47" s="4" t="s">
        <v>9</v>
      </c>
      <c r="E47" s="5" t="s">
        <v>10</v>
      </c>
      <c r="F47" s="3"/>
    </row>
    <row r="48" customFormat="false" ht="21.75" hidden="false" customHeight="true" outlineLevel="0" collapsed="false">
      <c r="A48" s="3"/>
      <c r="B48" s="3" t="s">
        <v>119</v>
      </c>
      <c r="C48" s="3" t="s">
        <v>120</v>
      </c>
      <c r="D48" s="6" t="s">
        <v>60</v>
      </c>
      <c r="E48" s="5" t="s">
        <v>61</v>
      </c>
      <c r="F48" s="3"/>
    </row>
    <row r="49" customFormat="false" ht="21.75" hidden="false" customHeight="true" outlineLevel="0" collapsed="false">
      <c r="A49" s="3"/>
      <c r="B49" s="3" t="s">
        <v>121</v>
      </c>
      <c r="C49" s="3" t="s">
        <v>122</v>
      </c>
      <c r="D49" s="4" t="s">
        <v>9</v>
      </c>
      <c r="E49" s="5" t="s">
        <v>10</v>
      </c>
      <c r="F49" s="3"/>
    </row>
    <row r="50" customFormat="false" ht="21.75" hidden="false" customHeight="true" outlineLevel="0" collapsed="false">
      <c r="A50" s="3"/>
      <c r="B50" s="3" t="s">
        <v>123</v>
      </c>
      <c r="C50" s="3" t="s">
        <v>124</v>
      </c>
      <c r="D50" s="4" t="s">
        <v>9</v>
      </c>
      <c r="E50" s="5" t="s">
        <v>10</v>
      </c>
      <c r="F50" s="3"/>
    </row>
    <row r="51" customFormat="false" ht="21.75" hidden="false" customHeight="true" outlineLevel="0" collapsed="false">
      <c r="A51" s="3"/>
      <c r="B51" s="3" t="s">
        <v>125</v>
      </c>
      <c r="C51" s="3" t="s">
        <v>126</v>
      </c>
      <c r="D51" s="4" t="s">
        <v>9</v>
      </c>
      <c r="E51" s="5" t="s">
        <v>10</v>
      </c>
      <c r="F51" s="3" t="s">
        <v>127</v>
      </c>
    </row>
    <row r="52" customFormat="false" ht="21.75" hidden="false" customHeight="true" outlineLevel="0" collapsed="false">
      <c r="A52" s="3"/>
      <c r="B52" s="3" t="s">
        <v>128</v>
      </c>
      <c r="C52" s="3" t="s">
        <v>129</v>
      </c>
      <c r="D52" s="4" t="s">
        <v>9</v>
      </c>
      <c r="E52" s="5" t="s">
        <v>10</v>
      </c>
      <c r="F52" s="3" t="s">
        <v>130</v>
      </c>
    </row>
    <row r="53" customFormat="false" ht="21.75" hidden="false" customHeight="true" outlineLevel="0" collapsed="false">
      <c r="A53" s="3"/>
      <c r="B53" s="3" t="s">
        <v>131</v>
      </c>
      <c r="C53" s="3" t="s">
        <v>132</v>
      </c>
      <c r="D53" s="4" t="s">
        <v>9</v>
      </c>
      <c r="E53" s="5" t="s">
        <v>10</v>
      </c>
      <c r="F53" s="3" t="s">
        <v>133</v>
      </c>
    </row>
    <row r="54" customFormat="false" ht="21.75" hidden="false" customHeight="true" outlineLevel="0" collapsed="false">
      <c r="A54" s="3"/>
      <c r="B54" s="3" t="s">
        <v>134</v>
      </c>
      <c r="C54" s="3" t="s">
        <v>135</v>
      </c>
      <c r="D54" s="4" t="s">
        <v>9</v>
      </c>
      <c r="E54" s="5" t="s">
        <v>10</v>
      </c>
      <c r="F54" s="3" t="s">
        <v>136</v>
      </c>
    </row>
    <row r="55" customFormat="false" ht="21.75" hidden="false" customHeight="true" outlineLevel="0" collapsed="false">
      <c r="A55" s="3"/>
      <c r="B55" s="3" t="s">
        <v>137</v>
      </c>
      <c r="C55" s="3" t="s">
        <v>138</v>
      </c>
      <c r="D55" s="4" t="s">
        <v>9</v>
      </c>
      <c r="E55" s="5" t="s">
        <v>10</v>
      </c>
      <c r="F55" s="3"/>
    </row>
    <row r="56" customFormat="false" ht="21.75" hidden="false" customHeight="true" outlineLevel="0" collapsed="false">
      <c r="A56" s="3"/>
      <c r="B56" s="3" t="s">
        <v>139</v>
      </c>
      <c r="C56" s="3" t="s">
        <v>140</v>
      </c>
      <c r="D56" s="6" t="s">
        <v>60</v>
      </c>
      <c r="E56" s="5" t="s">
        <v>61</v>
      </c>
      <c r="F56" s="3" t="s">
        <v>141</v>
      </c>
    </row>
    <row r="57" customFormat="false" ht="21.75" hidden="false" customHeight="true" outlineLevel="0" collapsed="false">
      <c r="A57" s="2" t="s">
        <v>142</v>
      </c>
      <c r="B57" s="3" t="s">
        <v>143</v>
      </c>
      <c r="C57" s="3" t="s">
        <v>144</v>
      </c>
      <c r="D57" s="4" t="s">
        <v>9</v>
      </c>
      <c r="E57" s="5" t="s">
        <v>10</v>
      </c>
      <c r="F57" s="3"/>
    </row>
    <row r="58" customFormat="false" ht="21.75" hidden="false" customHeight="true" outlineLevel="0" collapsed="false">
      <c r="A58" s="3"/>
      <c r="B58" s="3" t="s">
        <v>145</v>
      </c>
      <c r="C58" s="3" t="s">
        <v>146</v>
      </c>
      <c r="D58" s="7" t="s">
        <v>147</v>
      </c>
      <c r="E58" s="5" t="s">
        <v>10</v>
      </c>
      <c r="F58" s="3" t="s">
        <v>148</v>
      </c>
    </row>
    <row r="59" customFormat="false" ht="21.75" hidden="false" customHeight="true" outlineLevel="0" collapsed="false">
      <c r="A59" s="3"/>
      <c r="B59" s="3" t="s">
        <v>149</v>
      </c>
      <c r="C59" s="3" t="s">
        <v>150</v>
      </c>
      <c r="D59" s="7" t="s">
        <v>147</v>
      </c>
      <c r="E59" s="5" t="s">
        <v>61</v>
      </c>
      <c r="F59" s="3" t="s">
        <v>151</v>
      </c>
    </row>
    <row r="60" customFormat="false" ht="21.75" hidden="false" customHeight="true" outlineLevel="0" collapsed="false">
      <c r="A60" s="3"/>
      <c r="B60" s="3" t="s">
        <v>152</v>
      </c>
      <c r="C60" s="3" t="s">
        <v>153</v>
      </c>
      <c r="D60" s="4" t="s">
        <v>9</v>
      </c>
      <c r="E60" s="5" t="s">
        <v>10</v>
      </c>
      <c r="F60" s="3" t="s">
        <v>154</v>
      </c>
    </row>
    <row r="61" customFormat="false" ht="21.75" hidden="false" customHeight="true" outlineLevel="0" collapsed="false">
      <c r="A61" s="3"/>
      <c r="B61" s="3" t="s">
        <v>155</v>
      </c>
      <c r="C61" s="3" t="s">
        <v>156</v>
      </c>
      <c r="D61" s="4" t="s">
        <v>9</v>
      </c>
      <c r="E61" s="5" t="s">
        <v>10</v>
      </c>
      <c r="F61" s="3"/>
    </row>
    <row r="62" customFormat="false" ht="21.75" hidden="false" customHeight="true" outlineLevel="0" collapsed="false">
      <c r="A62" s="3"/>
      <c r="B62" s="3" t="s">
        <v>157</v>
      </c>
      <c r="C62" s="3" t="s">
        <v>158</v>
      </c>
      <c r="D62" s="4" t="s">
        <v>9</v>
      </c>
      <c r="E62" s="5" t="s">
        <v>10</v>
      </c>
      <c r="F62" s="3" t="s">
        <v>159</v>
      </c>
    </row>
    <row r="63" customFormat="false" ht="21.75" hidden="false" customHeight="true" outlineLevel="0" collapsed="false">
      <c r="A63" s="3"/>
      <c r="B63" s="3" t="s">
        <v>160</v>
      </c>
      <c r="C63" s="3" t="s">
        <v>161</v>
      </c>
      <c r="D63" s="6" t="s">
        <v>60</v>
      </c>
      <c r="E63" s="5" t="s">
        <v>61</v>
      </c>
      <c r="F63" s="3" t="s">
        <v>162</v>
      </c>
    </row>
    <row r="64" customFormat="false" ht="21.75" hidden="false" customHeight="true" outlineLevel="0" collapsed="false">
      <c r="A64" s="3"/>
      <c r="B64" s="3" t="s">
        <v>163</v>
      </c>
      <c r="C64" s="3" t="s">
        <v>164</v>
      </c>
      <c r="D64" s="7" t="s">
        <v>147</v>
      </c>
      <c r="E64" s="5" t="s">
        <v>10</v>
      </c>
      <c r="F64" s="3" t="s">
        <v>165</v>
      </c>
    </row>
    <row r="65" customFormat="false" ht="21.75" hidden="false" customHeight="true" outlineLevel="0" collapsed="false">
      <c r="A65" s="2" t="s">
        <v>166</v>
      </c>
      <c r="B65" s="3" t="s">
        <v>167</v>
      </c>
      <c r="C65" s="3" t="s">
        <v>168</v>
      </c>
      <c r="D65" s="4" t="s">
        <v>9</v>
      </c>
      <c r="E65" s="5" t="s">
        <v>10</v>
      </c>
      <c r="F65" s="3" t="s">
        <v>169</v>
      </c>
    </row>
    <row r="66" customFormat="false" ht="21.75" hidden="false" customHeight="true" outlineLevel="0" collapsed="false">
      <c r="A66" s="3"/>
      <c r="B66" s="3" t="s">
        <v>170</v>
      </c>
      <c r="C66" s="3" t="s">
        <v>171</v>
      </c>
      <c r="D66" s="4" t="s">
        <v>9</v>
      </c>
      <c r="E66" s="5" t="s">
        <v>10</v>
      </c>
      <c r="F66" s="3"/>
    </row>
    <row r="67" customFormat="false" ht="21.75" hidden="false" customHeight="true" outlineLevel="0" collapsed="false">
      <c r="A67" s="3"/>
      <c r="B67" s="3" t="s">
        <v>172</v>
      </c>
      <c r="C67" s="3" t="s">
        <v>173</v>
      </c>
      <c r="D67" s="4" t="s">
        <v>9</v>
      </c>
      <c r="E67" s="5" t="s">
        <v>10</v>
      </c>
      <c r="F67" s="3"/>
    </row>
    <row r="68" customFormat="false" ht="21.75" hidden="false" customHeight="true" outlineLevel="0" collapsed="false">
      <c r="A68" s="3"/>
      <c r="B68" s="3" t="s">
        <v>174</v>
      </c>
      <c r="C68" s="3" t="s">
        <v>175</v>
      </c>
      <c r="D68" s="6" t="s">
        <v>60</v>
      </c>
      <c r="E68" s="5" t="s">
        <v>61</v>
      </c>
      <c r="F68" s="3" t="s">
        <v>176</v>
      </c>
    </row>
    <row r="69" customFormat="false" ht="21.75" hidden="false" customHeight="true" outlineLevel="0" collapsed="false">
      <c r="A69" s="3"/>
      <c r="B69" s="3" t="s">
        <v>177</v>
      </c>
      <c r="C69" s="3" t="s">
        <v>178</v>
      </c>
      <c r="D69" s="7" t="s">
        <v>147</v>
      </c>
      <c r="E69" s="5" t="s">
        <v>10</v>
      </c>
      <c r="F69" s="3" t="s">
        <v>179</v>
      </c>
    </row>
    <row r="70" customFormat="false" ht="21.75" hidden="false" customHeight="true" outlineLevel="0" collapsed="false">
      <c r="A70" s="3"/>
      <c r="B70" s="3" t="s">
        <v>180</v>
      </c>
      <c r="C70" s="3" t="s">
        <v>181</v>
      </c>
      <c r="D70" s="6" t="s">
        <v>60</v>
      </c>
      <c r="E70" s="5" t="s">
        <v>61</v>
      </c>
      <c r="F70" s="3" t="s">
        <v>182</v>
      </c>
    </row>
    <row r="71" customFormat="false" ht="21.75" hidden="false" customHeight="true" outlineLevel="0" collapsed="false">
      <c r="A71" s="3"/>
      <c r="B71" s="3" t="s">
        <v>183</v>
      </c>
      <c r="C71" s="3" t="s">
        <v>184</v>
      </c>
      <c r="D71" s="6" t="s">
        <v>60</v>
      </c>
      <c r="E71" s="5" t="s">
        <v>61</v>
      </c>
      <c r="F71" s="3" t="s">
        <v>185</v>
      </c>
    </row>
    <row r="72" customFormat="false" ht="21.75" hidden="false" customHeight="true" outlineLevel="0" collapsed="false">
      <c r="A72" s="2" t="s">
        <v>186</v>
      </c>
      <c r="B72" s="3" t="s">
        <v>187</v>
      </c>
      <c r="C72" s="3" t="s">
        <v>188</v>
      </c>
      <c r="D72" s="6" t="s">
        <v>60</v>
      </c>
      <c r="E72" s="5" t="s">
        <v>61</v>
      </c>
      <c r="F72" s="3"/>
    </row>
    <row r="73" customFormat="false" ht="21.75" hidden="false" customHeight="true" outlineLevel="0" collapsed="false">
      <c r="A73" s="3"/>
      <c r="B73" s="3" t="s">
        <v>189</v>
      </c>
      <c r="C73" s="3" t="s">
        <v>190</v>
      </c>
      <c r="D73" s="6" t="s">
        <v>60</v>
      </c>
      <c r="E73" s="5" t="s">
        <v>61</v>
      </c>
      <c r="F73" s="3"/>
    </row>
    <row r="74" customFormat="false" ht="21.75" hidden="false" customHeight="true" outlineLevel="0" collapsed="false">
      <c r="A74" s="3"/>
      <c r="B74" s="3" t="s">
        <v>191</v>
      </c>
      <c r="C74" s="3" t="s">
        <v>192</v>
      </c>
      <c r="D74" s="6" t="s">
        <v>60</v>
      </c>
      <c r="E74" s="5" t="s">
        <v>61</v>
      </c>
      <c r="F74" s="3"/>
    </row>
    <row r="75" customFormat="false" ht="21.75" hidden="false" customHeight="true" outlineLevel="0" collapsed="false">
      <c r="A75" s="3"/>
      <c r="B75" s="3" t="s">
        <v>193</v>
      </c>
      <c r="C75" s="3" t="s">
        <v>194</v>
      </c>
      <c r="D75" s="6" t="s">
        <v>60</v>
      </c>
      <c r="E75" s="5" t="s">
        <v>61</v>
      </c>
      <c r="F75" s="3"/>
    </row>
    <row r="76" customFormat="false" ht="21.75" hidden="false" customHeight="true" outlineLevel="0" collapsed="false">
      <c r="A76" s="3"/>
      <c r="B76" s="3" t="s">
        <v>195</v>
      </c>
      <c r="C76" s="3" t="s">
        <v>196</v>
      </c>
      <c r="D76" s="6" t="s">
        <v>60</v>
      </c>
      <c r="E76" s="5" t="s">
        <v>197</v>
      </c>
      <c r="F76" s="3" t="s">
        <v>198</v>
      </c>
    </row>
    <row r="77" customFormat="false" ht="21.75" hidden="false" customHeight="true" outlineLevel="0" collapsed="false">
      <c r="A77" s="3"/>
      <c r="B77" s="3" t="s">
        <v>199</v>
      </c>
      <c r="C77" s="3" t="s">
        <v>200</v>
      </c>
      <c r="D77" s="6" t="s">
        <v>60</v>
      </c>
      <c r="E77" s="5" t="s">
        <v>61</v>
      </c>
      <c r="F77" s="3"/>
    </row>
    <row r="78" customFormat="false" ht="21.75" hidden="false" customHeight="true" outlineLevel="0" collapsed="false">
      <c r="A78" s="2" t="s">
        <v>201</v>
      </c>
      <c r="B78" s="3" t="s">
        <v>202</v>
      </c>
      <c r="C78" s="3" t="s">
        <v>203</v>
      </c>
      <c r="D78" s="4" t="s">
        <v>9</v>
      </c>
      <c r="E78" s="5" t="s">
        <v>10</v>
      </c>
      <c r="F78" s="3"/>
    </row>
    <row r="79" customFormat="false" ht="21.75" hidden="false" customHeight="true" outlineLevel="0" collapsed="false">
      <c r="A79" s="3"/>
      <c r="B79" s="3" t="s">
        <v>204</v>
      </c>
      <c r="C79" s="3" t="s">
        <v>205</v>
      </c>
      <c r="D79" s="7" t="s">
        <v>147</v>
      </c>
      <c r="E79" s="5" t="s">
        <v>10</v>
      </c>
      <c r="F79" s="3" t="s">
        <v>206</v>
      </c>
    </row>
    <row r="80" customFormat="false" ht="21.75" hidden="false" customHeight="true" outlineLevel="0" collapsed="false">
      <c r="A80" s="3"/>
      <c r="B80" s="3" t="s">
        <v>207</v>
      </c>
      <c r="C80" s="3" t="s">
        <v>208</v>
      </c>
      <c r="D80" s="6" t="s">
        <v>60</v>
      </c>
      <c r="E80" s="5" t="s">
        <v>61</v>
      </c>
      <c r="F80" s="3" t="s">
        <v>209</v>
      </c>
    </row>
    <row r="81" customFormat="false" ht="21.75" hidden="false" customHeight="true" outlineLevel="0" collapsed="false">
      <c r="A81" s="3"/>
      <c r="B81" s="3" t="s">
        <v>210</v>
      </c>
      <c r="C81" s="3" t="s">
        <v>211</v>
      </c>
      <c r="D81" s="6" t="s">
        <v>60</v>
      </c>
      <c r="E81" s="5" t="s">
        <v>61</v>
      </c>
      <c r="F81" s="3" t="s">
        <v>212</v>
      </c>
    </row>
    <row r="82" customFormat="false" ht="21.75" hidden="false" customHeight="true" outlineLevel="0" collapsed="false">
      <c r="A82" s="2" t="s">
        <v>213</v>
      </c>
      <c r="B82" s="3" t="s">
        <v>214</v>
      </c>
      <c r="C82" s="3" t="s">
        <v>215</v>
      </c>
      <c r="D82" s="7" t="s">
        <v>147</v>
      </c>
      <c r="E82" s="5" t="s">
        <v>10</v>
      </c>
      <c r="F82" s="3" t="s">
        <v>216</v>
      </c>
    </row>
    <row r="83" customFormat="false" ht="21.75" hidden="false" customHeight="true" outlineLevel="0" collapsed="false">
      <c r="A83" s="3"/>
      <c r="B83" s="3" t="s">
        <v>217</v>
      </c>
      <c r="C83" s="3" t="s">
        <v>218</v>
      </c>
      <c r="D83" s="7" t="s">
        <v>147</v>
      </c>
      <c r="E83" s="5" t="s">
        <v>10</v>
      </c>
      <c r="F83" s="3" t="s">
        <v>219</v>
      </c>
    </row>
    <row r="84" customFormat="false" ht="21.75" hidden="false" customHeight="true" outlineLevel="0" collapsed="false">
      <c r="A84" s="3"/>
      <c r="B84" s="3" t="s">
        <v>220</v>
      </c>
      <c r="C84" s="3" t="s">
        <v>221</v>
      </c>
      <c r="D84" s="6" t="s">
        <v>60</v>
      </c>
      <c r="E84" s="5" t="s">
        <v>10</v>
      </c>
      <c r="F84" s="3" t="s">
        <v>222</v>
      </c>
    </row>
    <row r="85" customFormat="false" ht="21.75" hidden="false" customHeight="true" outlineLevel="0" collapsed="false">
      <c r="A85" s="3"/>
      <c r="B85" s="3" t="s">
        <v>223</v>
      </c>
      <c r="C85" s="3" t="s">
        <v>224</v>
      </c>
      <c r="D85" s="6" t="s">
        <v>60</v>
      </c>
      <c r="E85" s="5" t="s">
        <v>61</v>
      </c>
      <c r="F85" s="3" t="s">
        <v>225</v>
      </c>
    </row>
    <row r="86" customFormat="false" ht="21.75" hidden="false" customHeight="true" outlineLevel="0" collapsed="false">
      <c r="A86" s="3"/>
      <c r="B86" s="3" t="s">
        <v>226</v>
      </c>
      <c r="C86" s="3" t="s">
        <v>227</v>
      </c>
      <c r="D86" s="6" t="s">
        <v>60</v>
      </c>
      <c r="E86" s="5" t="s">
        <v>61</v>
      </c>
      <c r="F86" s="3"/>
    </row>
    <row r="87" customFormat="false" ht="21.75" hidden="false" customHeight="true" outlineLevel="0" collapsed="false">
      <c r="A87" s="3"/>
      <c r="B87" s="3" t="s">
        <v>228</v>
      </c>
      <c r="C87" s="3" t="s">
        <v>229</v>
      </c>
      <c r="D87" s="6" t="s">
        <v>60</v>
      </c>
      <c r="E87" s="5" t="s">
        <v>61</v>
      </c>
      <c r="F87" s="3"/>
    </row>
    <row r="88" customFormat="false" ht="21.75" hidden="false" customHeight="true" outlineLevel="0" collapsed="false">
      <c r="A88" s="2" t="s">
        <v>230</v>
      </c>
      <c r="B88" s="3" t="s">
        <v>231</v>
      </c>
      <c r="C88" s="3" t="s">
        <v>232</v>
      </c>
      <c r="D88" s="7" t="s">
        <v>147</v>
      </c>
      <c r="E88" s="5" t="s">
        <v>10</v>
      </c>
      <c r="F88" s="3" t="s">
        <v>233</v>
      </c>
    </row>
    <row r="89" customFormat="false" ht="21.75" hidden="false" customHeight="true" outlineLevel="0" collapsed="false">
      <c r="A89" s="3"/>
      <c r="B89" s="3" t="s">
        <v>234</v>
      </c>
      <c r="C89" s="3" t="s">
        <v>235</v>
      </c>
      <c r="D89" s="6" t="s">
        <v>60</v>
      </c>
      <c r="E89" s="5" t="s">
        <v>197</v>
      </c>
      <c r="F89" s="3"/>
    </row>
    <row r="90" customFormat="false" ht="21.75" hidden="false" customHeight="true" outlineLevel="0" collapsed="false">
      <c r="A90" s="3"/>
      <c r="B90" s="3" t="s">
        <v>236</v>
      </c>
      <c r="C90" s="3" t="s">
        <v>237</v>
      </c>
      <c r="D90" s="6" t="s">
        <v>60</v>
      </c>
      <c r="E90" s="5" t="s">
        <v>61</v>
      </c>
      <c r="F90" s="3" t="s">
        <v>238</v>
      </c>
    </row>
    <row r="91" customFormat="false" ht="21.75" hidden="false" customHeight="true" outlineLevel="0" collapsed="false">
      <c r="A91" s="3"/>
      <c r="B91" s="3" t="s">
        <v>239</v>
      </c>
      <c r="C91" s="3" t="s">
        <v>240</v>
      </c>
      <c r="D91" s="6" t="s">
        <v>60</v>
      </c>
      <c r="E91" s="5" t="s">
        <v>10</v>
      </c>
      <c r="F91" s="3" t="s">
        <v>241</v>
      </c>
    </row>
    <row r="92" customFormat="false" ht="21.75" hidden="false" customHeight="true" outlineLevel="0" collapsed="false">
      <c r="A92" s="2" t="s">
        <v>242</v>
      </c>
      <c r="B92" s="3" t="s">
        <v>243</v>
      </c>
      <c r="C92" s="3" t="s">
        <v>244</v>
      </c>
      <c r="D92" s="4" t="s">
        <v>9</v>
      </c>
      <c r="E92" s="5" t="s">
        <v>10</v>
      </c>
      <c r="F92" s="3"/>
    </row>
    <row r="93" customFormat="false" ht="21.75" hidden="false" customHeight="true" outlineLevel="0" collapsed="false">
      <c r="A93" s="3"/>
      <c r="B93" s="3" t="s">
        <v>245</v>
      </c>
      <c r="C93" s="3" t="s">
        <v>246</v>
      </c>
      <c r="D93" s="4" t="s">
        <v>9</v>
      </c>
      <c r="E93" s="5" t="s">
        <v>10</v>
      </c>
      <c r="F93" s="3" t="s">
        <v>84</v>
      </c>
    </row>
    <row r="94" customFormat="false" ht="21.75" hidden="false" customHeight="true" outlineLevel="0" collapsed="false">
      <c r="A94" s="3"/>
      <c r="B94" s="3" t="s">
        <v>247</v>
      </c>
      <c r="C94" s="3" t="s">
        <v>248</v>
      </c>
      <c r="D94" s="4" t="s">
        <v>9</v>
      </c>
      <c r="E94" s="5" t="s">
        <v>10</v>
      </c>
      <c r="F94" s="3"/>
    </row>
    <row r="95" customFormat="false" ht="21.75" hidden="false" customHeight="true" outlineLevel="0" collapsed="false">
      <c r="A95" s="3"/>
      <c r="B95" s="3" t="s">
        <v>249</v>
      </c>
      <c r="C95" s="3" t="s">
        <v>250</v>
      </c>
      <c r="D95" s="4" t="s">
        <v>9</v>
      </c>
      <c r="E95" s="5" t="s">
        <v>10</v>
      </c>
      <c r="F95" s="3"/>
    </row>
    <row r="96" customFormat="false" ht="21.75" hidden="false" customHeight="true" outlineLevel="0" collapsed="false">
      <c r="A96" s="3"/>
      <c r="B96" s="3" t="s">
        <v>251</v>
      </c>
      <c r="C96" s="3" t="s">
        <v>252</v>
      </c>
      <c r="D96" s="6" t="s">
        <v>60</v>
      </c>
      <c r="E96" s="5" t="s">
        <v>197</v>
      </c>
      <c r="F96" s="3" t="s">
        <v>253</v>
      </c>
    </row>
    <row r="97" customFormat="false" ht="21.75" hidden="false" customHeight="true" outlineLevel="0" collapsed="false">
      <c r="A97" s="3"/>
      <c r="B97" s="3" t="s">
        <v>254</v>
      </c>
      <c r="C97" s="3" t="s">
        <v>255</v>
      </c>
      <c r="D97" s="6" t="s">
        <v>60</v>
      </c>
      <c r="E97" s="5" t="s">
        <v>197</v>
      </c>
      <c r="F97" s="3"/>
    </row>
    <row r="98" customFormat="false" ht="21.75" hidden="false" customHeight="true" outlineLevel="0" collapsed="false">
      <c r="A98" s="3"/>
      <c r="B98" s="3" t="s">
        <v>256</v>
      </c>
      <c r="C98" s="3" t="s">
        <v>257</v>
      </c>
      <c r="D98" s="6" t="s">
        <v>60</v>
      </c>
      <c r="E98" s="5" t="s">
        <v>61</v>
      </c>
      <c r="F98" s="3"/>
    </row>
    <row r="99" customFormat="false" ht="21.75" hidden="false" customHeight="true" outlineLevel="0" collapsed="false">
      <c r="A99" s="3"/>
      <c r="B99" s="3" t="s">
        <v>258</v>
      </c>
      <c r="C99" s="3" t="s">
        <v>259</v>
      </c>
      <c r="D99" s="6" t="s">
        <v>60</v>
      </c>
      <c r="E99" s="5" t="s">
        <v>61</v>
      </c>
      <c r="F99" s="3"/>
    </row>
    <row r="100" customFormat="false" ht="21.75" hidden="false" customHeight="true" outlineLevel="0" collapsed="false">
      <c r="A100" s="2" t="s">
        <v>260</v>
      </c>
      <c r="B100" s="3" t="s">
        <v>261</v>
      </c>
      <c r="C100" s="3" t="s">
        <v>262</v>
      </c>
      <c r="D100" s="6" t="s">
        <v>60</v>
      </c>
      <c r="E100" s="5" t="s">
        <v>61</v>
      </c>
      <c r="F100" s="3"/>
    </row>
    <row r="101" customFormat="false" ht="21.75" hidden="false" customHeight="true" outlineLevel="0" collapsed="false">
      <c r="A101" s="3"/>
      <c r="B101" s="3" t="s">
        <v>263</v>
      </c>
      <c r="C101" s="3" t="s">
        <v>264</v>
      </c>
      <c r="D101" s="6" t="s">
        <v>60</v>
      </c>
      <c r="E101" s="5" t="s">
        <v>197</v>
      </c>
      <c r="F101" s="3"/>
    </row>
    <row r="102" customFormat="false" ht="21.75" hidden="false" customHeight="true" outlineLevel="0" collapsed="false">
      <c r="A102" s="3"/>
      <c r="B102" s="3" t="s">
        <v>265</v>
      </c>
      <c r="C102" s="3" t="s">
        <v>266</v>
      </c>
      <c r="D102" s="6" t="s">
        <v>60</v>
      </c>
      <c r="E102" s="5" t="s">
        <v>197</v>
      </c>
      <c r="F102" s="3"/>
    </row>
    <row r="103" customFormat="false" ht="21.75" hidden="false" customHeight="true" outlineLevel="0" collapsed="false">
      <c r="A103" s="3"/>
      <c r="B103" s="3" t="s">
        <v>267</v>
      </c>
      <c r="C103" s="3" t="s">
        <v>268</v>
      </c>
      <c r="D103" s="6" t="s">
        <v>60</v>
      </c>
      <c r="E103" s="5" t="s">
        <v>197</v>
      </c>
      <c r="F103" s="3"/>
    </row>
    <row r="104" customFormat="false" ht="21.75" hidden="false" customHeight="true" outlineLevel="0" collapsed="false">
      <c r="A104" s="3"/>
      <c r="B104" s="3" t="s">
        <v>269</v>
      </c>
      <c r="C104" s="3" t="s">
        <v>270</v>
      </c>
      <c r="D104" s="6" t="s">
        <v>60</v>
      </c>
      <c r="E104" s="5" t="s">
        <v>61</v>
      </c>
      <c r="F104" s="3"/>
    </row>
    <row r="105" customFormat="false" ht="21.75" hidden="false" customHeight="true" outlineLevel="0" collapsed="false">
      <c r="A105" s="3"/>
      <c r="B105" s="3" t="s">
        <v>271</v>
      </c>
      <c r="C105" s="3" t="s">
        <v>272</v>
      </c>
      <c r="D105" s="6" t="s">
        <v>60</v>
      </c>
      <c r="E105" s="5" t="s">
        <v>61</v>
      </c>
      <c r="F105" s="3" t="s">
        <v>258</v>
      </c>
    </row>
    <row r="106" customFormat="false" ht="21.75" hidden="false" customHeight="true" outlineLevel="0" collapsed="false">
      <c r="A106" s="2" t="s">
        <v>273</v>
      </c>
      <c r="B106" s="3" t="s">
        <v>274</v>
      </c>
      <c r="C106" s="3" t="s">
        <v>275</v>
      </c>
      <c r="D106" s="4" t="s">
        <v>9</v>
      </c>
      <c r="E106" s="5" t="s">
        <v>10</v>
      </c>
      <c r="F106" s="3" t="s">
        <v>276</v>
      </c>
    </row>
    <row r="107" customFormat="false" ht="21.75" hidden="false" customHeight="true" outlineLevel="0" collapsed="false">
      <c r="A107" s="3"/>
      <c r="B107" s="3" t="s">
        <v>277</v>
      </c>
      <c r="C107" s="3" t="s">
        <v>278</v>
      </c>
      <c r="D107" s="7" t="s">
        <v>147</v>
      </c>
      <c r="E107" s="5" t="s">
        <v>10</v>
      </c>
      <c r="F107" s="3" t="s">
        <v>279</v>
      </c>
    </row>
    <row r="108" customFormat="false" ht="21.75" hidden="false" customHeight="true" outlineLevel="0" collapsed="false">
      <c r="A108" s="3"/>
      <c r="B108" s="3" t="s">
        <v>280</v>
      </c>
      <c r="C108" s="3" t="s">
        <v>281</v>
      </c>
      <c r="D108" s="6" t="s">
        <v>60</v>
      </c>
      <c r="E108" s="5" t="s">
        <v>197</v>
      </c>
      <c r="F108" s="3" t="s">
        <v>282</v>
      </c>
    </row>
    <row r="109" customFormat="false" ht="21.75" hidden="false" customHeight="true" outlineLevel="0" collapsed="false">
      <c r="A109" s="3"/>
      <c r="B109" s="3" t="s">
        <v>283</v>
      </c>
      <c r="C109" s="3" t="s">
        <v>284</v>
      </c>
      <c r="D109" s="6" t="s">
        <v>60</v>
      </c>
      <c r="E109" s="5" t="s">
        <v>197</v>
      </c>
      <c r="F109" s="3" t="s">
        <v>285</v>
      </c>
    </row>
    <row r="110" customFormat="false" ht="21.75" hidden="false" customHeight="true" outlineLevel="0" collapsed="false">
      <c r="A110" s="2" t="s">
        <v>286</v>
      </c>
      <c r="B110" s="3" t="s">
        <v>287</v>
      </c>
      <c r="C110" s="3" t="s">
        <v>288</v>
      </c>
      <c r="D110" s="6" t="s">
        <v>60</v>
      </c>
      <c r="E110" s="5" t="s">
        <v>10</v>
      </c>
      <c r="F110" s="3" t="s">
        <v>289</v>
      </c>
    </row>
    <row r="111" customFormat="false" ht="21.75" hidden="false" customHeight="true" outlineLevel="0" collapsed="false">
      <c r="A111" s="3"/>
      <c r="B111" s="3" t="s">
        <v>290</v>
      </c>
      <c r="C111" s="3" t="s">
        <v>291</v>
      </c>
      <c r="D111" s="6" t="s">
        <v>60</v>
      </c>
      <c r="E111" s="5" t="s">
        <v>10</v>
      </c>
      <c r="F111" s="3" t="s">
        <v>292</v>
      </c>
    </row>
    <row r="112" customFormat="false" ht="21.75" hidden="false" customHeight="true" outlineLevel="0" collapsed="false">
      <c r="A112" s="3"/>
      <c r="B112" s="3" t="s">
        <v>293</v>
      </c>
      <c r="C112" s="3" t="s">
        <v>294</v>
      </c>
      <c r="D112" s="6" t="s">
        <v>60</v>
      </c>
      <c r="E112" s="5" t="s">
        <v>61</v>
      </c>
      <c r="F112" s="3" t="s">
        <v>295</v>
      </c>
    </row>
    <row r="113" customFormat="false" ht="21.75" hidden="false" customHeight="true" outlineLevel="0" collapsed="false">
      <c r="A113" s="3"/>
      <c r="B113" s="3" t="s">
        <v>296</v>
      </c>
      <c r="C113" s="3" t="s">
        <v>297</v>
      </c>
      <c r="D113" s="6" t="s">
        <v>60</v>
      </c>
      <c r="E113" s="5" t="s">
        <v>61</v>
      </c>
      <c r="F113" s="3" t="s">
        <v>298</v>
      </c>
    </row>
    <row r="114" customFormat="false" ht="21.75" hidden="false" customHeight="true" outlineLevel="0" collapsed="false">
      <c r="A114" s="3"/>
      <c r="B114" s="3" t="s">
        <v>299</v>
      </c>
      <c r="C114" s="3" t="s">
        <v>300</v>
      </c>
      <c r="D114" s="6" t="s">
        <v>60</v>
      </c>
      <c r="E114" s="5" t="s">
        <v>61</v>
      </c>
      <c r="F114" s="3"/>
    </row>
    <row r="115" customFormat="false" ht="21.75" hidden="false" customHeight="true" outlineLevel="0" collapsed="false">
      <c r="A115" s="3"/>
      <c r="B115" s="3" t="s">
        <v>301</v>
      </c>
      <c r="C115" s="3" t="s">
        <v>302</v>
      </c>
      <c r="D115" s="6" t="s">
        <v>60</v>
      </c>
      <c r="E115" s="5" t="s">
        <v>61</v>
      </c>
      <c r="F115" s="3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8" t="s">
        <v>304</v>
      </c>
      <c r="B1" s="8"/>
    </row>
    <row r="2" customFormat="false" ht="15" hidden="false" customHeight="false" outlineLevel="0" collapsed="false">
      <c r="A2" s="9"/>
      <c r="B2" s="9"/>
    </row>
    <row r="3" customFormat="false" ht="15" hidden="false" customHeight="false" outlineLevel="0" collapsed="false">
      <c r="A3" s="10" t="s">
        <v>305</v>
      </c>
      <c r="B3" s="10" t="n">
        <f aca="false">COUNTA('Feature Specs'!B2:B115)</f>
        <v>114</v>
      </c>
    </row>
    <row r="4" customFormat="false" ht="15" hidden="false" customHeight="false" outlineLevel="0" collapsed="false">
      <c r="A4" s="11" t="s">
        <v>9</v>
      </c>
      <c r="B4" s="11" t="n">
        <f aca="false">COUNTIF('Feature Specs'!D2:D115,"Built")</f>
        <v>64</v>
      </c>
    </row>
    <row r="5" customFormat="false" ht="15" hidden="false" customHeight="false" outlineLevel="0" collapsed="false">
      <c r="A5" s="12" t="s">
        <v>147</v>
      </c>
      <c r="B5" s="12" t="n">
        <f aca="false">COUNTIF('Feature Specs'!D2:D115,"Partial")</f>
        <v>9</v>
      </c>
    </row>
    <row r="6" customFormat="false" ht="15" hidden="false" customHeight="false" outlineLevel="0" collapsed="false">
      <c r="A6" s="13" t="s">
        <v>60</v>
      </c>
      <c r="B6" s="13" t="n">
        <f aca="false">COUNTIF('Feature Specs'!D2:D115,"Future")</f>
        <v>41</v>
      </c>
    </row>
    <row r="7" customFormat="false" ht="15" hidden="false" customHeight="false" outlineLevel="0" collapsed="false">
      <c r="A7" s="9"/>
      <c r="B7" s="9"/>
    </row>
    <row r="8" customFormat="false" ht="15" hidden="false" customHeight="false" outlineLevel="0" collapsed="false">
      <c r="A8" s="10" t="s">
        <v>306</v>
      </c>
      <c r="B8" s="10" t="n">
        <f aca="false">COUNTIF('Feature Specs'!E2:E115,"P0")</f>
        <v>76</v>
      </c>
    </row>
    <row r="9" customFormat="false" ht="15" hidden="false" customHeight="false" outlineLevel="0" collapsed="false">
      <c r="A9" s="9" t="s">
        <v>307</v>
      </c>
      <c r="B9" s="9" t="n">
        <f aca="false">COUNTIF('Feature Specs'!E2:E115,"P1")</f>
        <v>29</v>
      </c>
    </row>
    <row r="10" customFormat="false" ht="15" hidden="false" customHeight="false" outlineLevel="0" collapsed="false">
      <c r="A10" s="9" t="s">
        <v>308</v>
      </c>
      <c r="B10" s="9" t="n">
        <f aca="false">COUNTIF('Feature Specs'!E2:E115,"P2")</f>
        <v>9</v>
      </c>
    </row>
    <row r="11" customFormat="false" ht="15" hidden="false" customHeight="false" outlineLevel="0" collapsed="false">
      <c r="A11" s="9"/>
      <c r="B11" s="9"/>
    </row>
    <row r="12" customFormat="false" ht="15" hidden="false" customHeight="false" outlineLevel="0" collapsed="false">
      <c r="A12" s="10" t="s">
        <v>309</v>
      </c>
      <c r="B12" s="10"/>
    </row>
    <row r="13" customFormat="false" ht="15" hidden="false" customHeight="false" outlineLevel="0" collapsed="false">
      <c r="A13" s="9" t="s">
        <v>6</v>
      </c>
      <c r="B13" s="9" t="n">
        <f aca="false">COUNTIF('Feature Specs'!A2:A115,"Onboarding")</f>
        <v>1</v>
      </c>
    </row>
    <row r="14" customFormat="false" ht="15" hidden="false" customHeight="false" outlineLevel="0" collapsed="false">
      <c r="A14" s="9" t="s">
        <v>51</v>
      </c>
      <c r="B14" s="9" t="n">
        <f aca="false">COUNTIF('Feature Specs'!A2:A115,"Zodiac System")</f>
        <v>1</v>
      </c>
    </row>
    <row r="15" customFormat="false" ht="15" hidden="false" customHeight="false" outlineLevel="0" collapsed="false">
      <c r="A15" s="9" t="s">
        <v>66</v>
      </c>
      <c r="B15" s="9" t="n">
        <f aca="false">COUNTIF('Feature Specs'!A2:A115,"Companion Gen")</f>
        <v>1</v>
      </c>
    </row>
    <row r="16" customFormat="false" ht="15" hidden="false" customHeight="false" outlineLevel="0" collapsed="false">
      <c r="A16" s="9" t="s">
        <v>90</v>
      </c>
      <c r="B16" s="9" t="n">
        <f aca="false">COUNTIF('Feature Specs'!A2:A115,"Builder Traits")</f>
        <v>1</v>
      </c>
    </row>
    <row r="17" customFormat="false" ht="15" hidden="false" customHeight="false" outlineLevel="0" collapsed="false">
      <c r="A17" s="9" t="s">
        <v>114</v>
      </c>
      <c r="B17" s="9" t="n">
        <f aca="false">COUNTIF('Feature Specs'!A2:A115,"Chat System")</f>
        <v>1</v>
      </c>
    </row>
    <row r="18" customFormat="false" ht="15" hidden="false" customHeight="false" outlineLevel="0" collapsed="false">
      <c r="A18" s="9" t="s">
        <v>142</v>
      </c>
      <c r="B18" s="9" t="n">
        <f aca="false">COUNTIF('Feature Specs'!A2:A115,"Companion Dynamics")</f>
        <v>1</v>
      </c>
    </row>
    <row r="19" customFormat="false" ht="15" hidden="false" customHeight="false" outlineLevel="0" collapsed="false">
      <c r="A19" s="9" t="s">
        <v>166</v>
      </c>
      <c r="B19" s="9" t="n">
        <f aca="false">COUNTIF('Feature Specs'!A2:A115,"Emotional Intel")</f>
        <v>1</v>
      </c>
    </row>
    <row r="20" customFormat="false" ht="15" hidden="false" customHeight="false" outlineLevel="0" collapsed="false">
      <c r="A20" s="9" t="s">
        <v>186</v>
      </c>
      <c r="B20" s="9" t="n">
        <f aca="false">COUNTIF('Feature Specs'!A2:A115,"Location")</f>
        <v>1</v>
      </c>
    </row>
    <row r="21" customFormat="false" ht="15" hidden="false" customHeight="false" outlineLevel="0" collapsed="false">
      <c r="A21" s="9" t="s">
        <v>201</v>
      </c>
      <c r="B21" s="9" t="n">
        <f aca="false">COUNTIF('Feature Specs'!A2:A115,"Content/Age")</f>
        <v>1</v>
      </c>
    </row>
    <row r="22" customFormat="false" ht="15" hidden="false" customHeight="false" outlineLevel="0" collapsed="false">
      <c r="A22" s="9" t="s">
        <v>213</v>
      </c>
      <c r="B22" s="9" t="n">
        <f aca="false">COUNTIF('Feature Specs'!A2:A115,"Monetization")</f>
        <v>1</v>
      </c>
    </row>
    <row r="23" customFormat="false" ht="15" hidden="false" customHeight="false" outlineLevel="0" collapsed="false">
      <c r="A23" s="9" t="s">
        <v>230</v>
      </c>
      <c r="B23" s="9" t="n">
        <f aca="false">COUNTIF('Feature Specs'!A2:A115,"Data/Privacy")</f>
        <v>1</v>
      </c>
    </row>
    <row r="24" customFormat="false" ht="15" hidden="false" customHeight="false" outlineLevel="0" collapsed="false">
      <c r="A24" s="9" t="s">
        <v>242</v>
      </c>
      <c r="B24" s="9" t="n">
        <f aca="false">COUNTIF('Feature Specs'!A2:A115,"Visual/UI")</f>
        <v>1</v>
      </c>
    </row>
    <row r="25" customFormat="false" ht="15" hidden="false" customHeight="false" outlineLevel="0" collapsed="false">
      <c r="A25" s="9" t="s">
        <v>260</v>
      </c>
      <c r="B25" s="9" t="n">
        <f aca="false">COUNTIF('Feature Specs'!A2:A115,"Notifications")</f>
        <v>1</v>
      </c>
    </row>
    <row r="26" customFormat="false" ht="15" hidden="false" customHeight="false" outlineLevel="0" collapsed="false">
      <c r="A26" s="9" t="s">
        <v>273</v>
      </c>
      <c r="B26" s="9" t="n">
        <f aca="false">COUNTIF('Feature Specs'!A2:A115,"Platforms")</f>
        <v>1</v>
      </c>
    </row>
    <row r="27" customFormat="false" ht="15" hidden="false" customHeight="false" outlineLevel="0" collapsed="false">
      <c r="A27" s="9" t="s">
        <v>286</v>
      </c>
      <c r="B27" s="9" t="n">
        <f aca="false">COUNTIF('Feature Specs'!A2:A115,"Backend")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2026-04-22T04:26:16Z</dcterms:created>
  <dc:creator>openpyxl</dc:creator>
  <dc:description/>
  <dc:language>en-US</dc:language>
  <cp:lastModifiedBy/>
  <dcterms:modified xsi:type="dcterms:W3CDTF">2026-04-22T04:26:16Z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